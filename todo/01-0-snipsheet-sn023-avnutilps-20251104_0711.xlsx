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s\sn023\todo\"/>
    </mc:Choice>
  </mc:AlternateContent>
  <xr:revisionPtr revIDLastSave="0" documentId="13_ncr:1_{D22AE395-1962-4E41-82B4-5D4C8B5853AD}" xr6:coauthVersionLast="47" xr6:coauthVersionMax="47" xr10:uidLastSave="{00000000-0000-0000-0000-000000000000}"/>
  <bookViews>
    <workbookView xWindow="-120" yWindow="-120" windowWidth="29040" windowHeight="15720" tabRatio="747" activeTab="4" xr2:uid="{00000000-000D-0000-FFFF-FFFF00000000}"/>
  </bookViews>
  <sheets>
    <sheet name="0.1-notes" sheetId="3" r:id="rId1"/>
    <sheet name="0.2-diary" sheetId="4" r:id="rId2"/>
    <sheet name="0.3-todo" sheetId="11" r:id="rId3"/>
    <sheet name="4.0-milestones" sheetId="6" r:id="rId4"/>
    <sheet name="4.1-steps" sheetId="14" r:id="rId5"/>
    <sheet name="8-qna" sheetId="13" r:id="rId6"/>
    <sheet name="9-terms" sheetId="12" r:id="rId7"/>
    <sheet name="10-ref" sheetId="5" r:id="rId8"/>
    <sheet name="11-sop" sheetId="17" r:id="rId9"/>
    <sheet name="25-codes" sheetId="2" r:id="rId10"/>
    <sheet name="50-arch-todo" sheetId="18" r:id="rId11"/>
  </sheets>
  <definedNames>
    <definedName name="_xlnm._FilterDatabase" localSheetId="2" hidden="1">'0.3-todo'!$A$1:$S$11</definedName>
    <definedName name="_xlnm._FilterDatabase" localSheetId="10" hidden="1">'50-arch-todo'!$A$1:$S$11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8" l="1"/>
  <c r="F2" i="18"/>
  <c r="H2" i="6"/>
  <c r="F2" i="11"/>
  <c r="M2" i="11"/>
</calcChain>
</file>

<file path=xl/sharedStrings.xml><?xml version="1.0" encoding="utf-8"?>
<sst xmlns="http://schemas.openxmlformats.org/spreadsheetml/2006/main" count="329" uniqueCount="186">
  <si>
    <t>ToDo ID</t>
  </si>
  <si>
    <t>To Do Description</t>
  </si>
  <si>
    <t>DOO</t>
  </si>
  <si>
    <t>Case ID</t>
  </si>
  <si>
    <t>Priority</t>
  </si>
  <si>
    <t>Assigned</t>
  </si>
  <si>
    <t>Eff. in Hrs</t>
  </si>
  <si>
    <t>I/EDC</t>
  </si>
  <si>
    <t>Status</t>
  </si>
  <si>
    <t>Finished</t>
  </si>
  <si>
    <t>Remarks</t>
  </si>
  <si>
    <t>T008</t>
  </si>
  <si>
    <t>PU AON of Training on Cumminus DAs</t>
  </si>
  <si>
    <t>BU002</t>
  </si>
  <si>
    <t>Open</t>
  </si>
  <si>
    <t>LCY</t>
  </si>
  <si>
    <t>Progress</t>
  </si>
  <si>
    <t>SDK</t>
  </si>
  <si>
    <t>Waiting</t>
  </si>
  <si>
    <t>RTS</t>
  </si>
  <si>
    <t xml:space="preserve">Status </t>
  </si>
  <si>
    <t>Code</t>
  </si>
  <si>
    <t>Description</t>
  </si>
  <si>
    <t>Open, but not started</t>
  </si>
  <si>
    <t>Top</t>
  </si>
  <si>
    <t xml:space="preserve">Sudhir Kumar, P/Nvk(R) </t>
  </si>
  <si>
    <t>Work in Progress</t>
  </si>
  <si>
    <t>Medium</t>
  </si>
  <si>
    <t>LC Yadav, P/Adh(P)</t>
  </si>
  <si>
    <t>Waiting from others</t>
  </si>
  <si>
    <t>MPY</t>
  </si>
  <si>
    <t>MP Yadav,P/Adh(R)</t>
  </si>
  <si>
    <t>Hold</t>
  </si>
  <si>
    <t>Low</t>
  </si>
  <si>
    <t>RTO(TS)</t>
  </si>
  <si>
    <t>Closed</t>
  </si>
  <si>
    <t>Work completed</t>
  </si>
  <si>
    <t>Other</t>
  </si>
  <si>
    <t>Diary</t>
  </si>
  <si>
    <t>Diary Description</t>
  </si>
  <si>
    <t>Category</t>
  </si>
  <si>
    <t>Note Description</t>
  </si>
  <si>
    <t>Link ID</t>
  </si>
  <si>
    <t>T001</t>
  </si>
  <si>
    <t>T002</t>
  </si>
  <si>
    <t>T003</t>
  </si>
  <si>
    <t>T004</t>
  </si>
  <si>
    <t>T005</t>
  </si>
  <si>
    <t>T006</t>
  </si>
  <si>
    <t>T007</t>
  </si>
  <si>
    <t>T009</t>
  </si>
  <si>
    <t>T010</t>
  </si>
  <si>
    <t>Sl.</t>
  </si>
  <si>
    <t>Type (Article)</t>
  </si>
  <si>
    <t>Letter</t>
  </si>
  <si>
    <t>Fax</t>
  </si>
  <si>
    <t>Email</t>
  </si>
  <si>
    <t>Unit</t>
  </si>
  <si>
    <t>Station</t>
  </si>
  <si>
    <t>U062</t>
  </si>
  <si>
    <t>CG RHQ(NW)</t>
  </si>
  <si>
    <t>Gandhinagar</t>
  </si>
  <si>
    <t>U006</t>
  </si>
  <si>
    <t>ICGS Ankit</t>
  </si>
  <si>
    <t>Porbandar</t>
  </si>
  <si>
    <t>U007</t>
  </si>
  <si>
    <t>ICGS Arush</t>
  </si>
  <si>
    <t>MS ID</t>
  </si>
  <si>
    <t>Milestone Description</t>
  </si>
  <si>
    <t>MS01-0</t>
  </si>
  <si>
    <t>Meeting at RHQ(NW) chaired by CSO(Tech)</t>
  </si>
  <si>
    <t>Present Status</t>
  </si>
  <si>
    <t>MS02-0</t>
  </si>
  <si>
    <t>Installation of FOG at Arush</t>
  </si>
  <si>
    <t>DY001</t>
  </si>
  <si>
    <t>DY002</t>
  </si>
  <si>
    <t>DY003</t>
  </si>
  <si>
    <t>DY004</t>
  </si>
  <si>
    <t>DY005</t>
  </si>
  <si>
    <t>DY006</t>
  </si>
  <si>
    <t>DY007</t>
  </si>
  <si>
    <t>DY008</t>
  </si>
  <si>
    <t>DY009</t>
  </si>
  <si>
    <t>DY010</t>
  </si>
  <si>
    <t>DY011</t>
  </si>
  <si>
    <t>DY012</t>
  </si>
  <si>
    <t>DY013</t>
  </si>
  <si>
    <t>DY014</t>
  </si>
  <si>
    <t>DY015</t>
  </si>
  <si>
    <t>DY016</t>
  </si>
  <si>
    <t>DY017</t>
  </si>
  <si>
    <t>DY018</t>
  </si>
  <si>
    <t>DY019</t>
  </si>
  <si>
    <t>DY020</t>
  </si>
  <si>
    <t>Pomodora sheet added(0.4-pom)</t>
  </si>
  <si>
    <t>Pomo</t>
  </si>
  <si>
    <t>EDC</t>
  </si>
  <si>
    <r>
      <t>Pomodora sheet deleted. "Pomo" col. added,"Eff. In hrs format to hh:mm, "Pomo" calculation "</t>
    </r>
    <r>
      <rPr>
        <i/>
        <sz val="11"/>
        <color theme="1"/>
        <rFont val="Calibri"/>
        <family val="2"/>
        <scheme val="minor"/>
      </rPr>
      <t>=Ceiling((Eff. In hrs * 60 * 24)/25,1)</t>
    </r>
    <r>
      <rPr>
        <sz val="11"/>
        <color theme="1"/>
        <rFont val="Calibri"/>
        <family val="2"/>
        <scheme val="minor"/>
      </rPr>
      <t>"</t>
    </r>
  </si>
  <si>
    <t>Term ID</t>
  </si>
  <si>
    <t>Term/ Abbr.</t>
  </si>
  <si>
    <t>Link</t>
  </si>
  <si>
    <t>OWASP</t>
  </si>
  <si>
    <t>Open Worldwide Application Security Project</t>
  </si>
  <si>
    <t>Malware</t>
  </si>
  <si>
    <t>A software intentionally designed to cause damage</t>
  </si>
  <si>
    <t>Terminology sheet added (9-terms)</t>
  </si>
  <si>
    <t>Lag</t>
  </si>
  <si>
    <t>QnA ID</t>
  </si>
  <si>
    <t>QnA Description</t>
  </si>
  <si>
    <t>Flask</t>
  </si>
  <si>
    <t>Explain if __name__ == "__main__"</t>
  </si>
  <si>
    <t>The condition checks whether the current file is the main program entry point, Preventing Unwanted Code Execution on Import</t>
  </si>
  <si>
    <t>Question and Answer sheet added (8-qna)</t>
  </si>
  <si>
    <t>Step ID</t>
  </si>
  <si>
    <t>Steps Description</t>
  </si>
  <si>
    <t>Pre-Requisites</t>
  </si>
  <si>
    <t>Expected Outcome</t>
  </si>
  <si>
    <t>S01-0</t>
  </si>
  <si>
    <t>Step-by-Step sheet added (4.1-steps), Renamed 4-milestones to 4.1</t>
  </si>
  <si>
    <t>LUD</t>
  </si>
  <si>
    <t>Pseudocode sheet added (4.2-pseudo)</t>
  </si>
  <si>
    <t>Deepseek</t>
  </si>
  <si>
    <t>R01-0</t>
  </si>
  <si>
    <t>N01-0</t>
  </si>
  <si>
    <t>N02-0</t>
  </si>
  <si>
    <t>QA01-0</t>
  </si>
  <si>
    <t>QA02-0</t>
  </si>
  <si>
    <t>TM01-0</t>
  </si>
  <si>
    <t>TM02-0</t>
  </si>
  <si>
    <t>SOP ID</t>
  </si>
  <si>
    <t>Sub Category</t>
  </si>
  <si>
    <t>AID</t>
  </si>
  <si>
    <t>OD</t>
  </si>
  <si>
    <t>Package</t>
  </si>
  <si>
    <t>Package conventions</t>
  </si>
  <si>
    <t>Recommended package structure conventions</t>
  </si>
  <si>
    <t>Conventions</t>
  </si>
  <si>
    <t>Grok</t>
  </si>
  <si>
    <t>A02-01-0</t>
  </si>
  <si>
    <t>Reserved Snips</t>
  </si>
  <si>
    <t>SN100-199 reserved for my python packages</t>
  </si>
  <si>
    <t>Package Serials</t>
  </si>
  <si>
    <t>A02-01-1</t>
  </si>
  <si>
    <t>Outer package</t>
  </si>
  <si>
    <t>Root prefix: avn, chp, c3l (Ex. Sn101-avn_utils, sn102-chp_pico)</t>
  </si>
  <si>
    <t>Structure</t>
  </si>
  <si>
    <t>Inner package</t>
  </si>
  <si>
    <t>Naming</t>
  </si>
  <si>
    <t>Python naming</t>
  </si>
  <si>
    <t>Recommended Python naming conventions</t>
  </si>
  <si>
    <t>A02-02-0</t>
  </si>
  <si>
    <t>Added SOP sheet '12-sop'</t>
  </si>
  <si>
    <t>NID</t>
  </si>
  <si>
    <t>1. Sub package naming to match with outer package name except for Snip serials (Ex. Avn_utils, chp_pico)</t>
  </si>
  <si>
    <t>Ref. ID</t>
  </si>
  <si>
    <t>Reference Description</t>
  </si>
  <si>
    <t>Link2</t>
  </si>
  <si>
    <t>SP01-0</t>
  </si>
  <si>
    <t>S01-1</t>
  </si>
  <si>
    <t>S01-2</t>
  </si>
  <si>
    <t>S01-3</t>
  </si>
  <si>
    <t>S02-0</t>
  </si>
  <si>
    <t>Ext. NID</t>
  </si>
  <si>
    <t>1. Added: NID for notes on 9-terms, 8-qna (v1.13.0)
2. Renamed: 10-artefacts-&gt;10-ref, 12-sop-&gt;11-sop
3. Removed: 4.3-pseudo
4. Updated: 10-ref, 4.0-milestones, 0.1-notes, 8-qna, 5-arch-todo, 25-codes, 4.1-steps</t>
  </si>
  <si>
    <t>Pomodora</t>
  </si>
  <si>
    <t>Terminology</t>
  </si>
  <si>
    <t>QA</t>
  </si>
  <si>
    <t>Step</t>
  </si>
  <si>
    <t>Pseudo</t>
  </si>
  <si>
    <t>SOP</t>
  </si>
  <si>
    <t>General</t>
  </si>
  <si>
    <t>Title</t>
  </si>
  <si>
    <t>SOP Description</t>
  </si>
  <si>
    <t>Create snip base directory structure</t>
  </si>
  <si>
    <t>Update manifest (AvnUtilsPs.psd1)</t>
  </si>
  <si>
    <t>Update module (AvnUtilsPs.psm1)</t>
  </si>
  <si>
    <t>Update _ShowSteps.ps1</t>
  </si>
  <si>
    <t>Update Cmdlet (Show-Steps.ps1)</t>
  </si>
  <si>
    <t>Update Test (Test-ShowSteps.ps1)</t>
  </si>
  <si>
    <t>ST01-0</t>
  </si>
  <si>
    <t>ST02-0</t>
  </si>
  <si>
    <t>ST03-0</t>
  </si>
  <si>
    <t>ST04-0</t>
  </si>
  <si>
    <t>ST05-0</t>
  </si>
  <si>
    <t>ST06-0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</si>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</sst>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CC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/>
    </xf>
    <xf numFmtId="15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5" fontId="2" fillId="2" borderId="0" xfId="0" applyNumberFormat="1" applyFont="1" applyFill="1" applyAlignment="1">
      <alignment vertical="top"/>
    </xf>
    <xf numFmtId="0" fontId="2" fillId="0" borderId="0" xfId="0" applyFont="1" applyAlignment="1">
      <alignment vertical="top" wrapText="1"/>
    </xf>
    <xf numFmtId="15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15" fontId="2" fillId="3" borderId="0" xfId="0" applyNumberFormat="1" applyFont="1" applyFill="1" applyAlignment="1">
      <alignment vertical="top" wrapText="1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15" fontId="2" fillId="2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20" fontId="4" fillId="2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vertical="top"/>
    </xf>
    <xf numFmtId="20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15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4" borderId="0" xfId="0" applyFont="1" applyFill="1" applyAlignment="1">
      <alignment vertical="top"/>
    </xf>
    <xf numFmtId="0" fontId="9" fillId="4" borderId="0" xfId="0" applyFont="1" applyFill="1" applyAlignment="1">
      <alignment horizontal="center" vertical="top"/>
    </xf>
    <xf numFmtId="0" fontId="9" fillId="4" borderId="0" xfId="0" applyFont="1" applyFill="1" applyAlignment="1">
      <alignment vertical="top" wrapText="1"/>
    </xf>
    <xf numFmtId="20" fontId="9" fillId="4" borderId="0" xfId="0" applyNumberFormat="1" applyFont="1" applyFill="1" applyAlignment="1">
      <alignment horizontal="center" vertical="top"/>
    </xf>
    <xf numFmtId="1" fontId="9" fillId="4" borderId="0" xfId="0" applyNumberFormat="1" applyFont="1" applyFill="1" applyAlignment="1">
      <alignment horizontal="center"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11" fillId="0" borderId="0" xfId="1" applyAlignment="1">
      <alignment vertical="top"/>
    </xf>
    <xf numFmtId="0" fontId="4" fillId="2" borderId="0" xfId="0" applyFont="1" applyFill="1" applyAlignment="1">
      <alignment vertical="top"/>
    </xf>
    <xf numFmtId="1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" fontId="3" fillId="2" borderId="0" xfId="0" applyNumberFormat="1" applyFont="1" applyFill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top"/>
    </xf>
    <xf numFmtId="0" fontId="2" fillId="7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15" fontId="2" fillId="5" borderId="0" xfId="0" applyNumberFormat="1" applyFont="1" applyFill="1" applyAlignment="1">
      <alignment vertical="top"/>
    </xf>
    <xf numFmtId="15" fontId="2" fillId="7" borderId="0" xfId="0" applyNumberFormat="1" applyFont="1" applyFill="1" applyAlignment="1">
      <alignment vertical="top" wrapText="1"/>
    </xf>
    <xf numFmtId="0" fontId="2" fillId="7" borderId="0" xfId="0" applyFont="1" applyFill="1" applyAlignment="1">
      <alignment horizontal="center" vertical="top" wrapText="1"/>
    </xf>
    <xf numFmtId="49" fontId="2" fillId="3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9" fillId="5" borderId="0" xfId="0" applyNumberFormat="1" applyFont="1" applyFill="1" applyAlignment="1">
      <alignment horizontal="center" vertical="top"/>
    </xf>
    <xf numFmtId="49" fontId="5" fillId="0" borderId="0" xfId="1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15" fontId="2" fillId="2" borderId="0" xfId="0" applyNumberFormat="1" applyFont="1" applyFill="1" applyAlignment="1">
      <alignment horizontal="center" vertical="top" wrapText="1"/>
    </xf>
    <xf numFmtId="0" fontId="11" fillId="0" borderId="0" xfId="1" applyAlignment="1">
      <alignment vertical="top" wrapText="1"/>
    </xf>
    <xf numFmtId="15" fontId="0" fillId="0" borderId="0" xfId="0" applyNumberFormat="1" applyAlignment="1">
      <alignment horizontal="center" vertical="top" wrapText="1"/>
    </xf>
    <xf numFmtId="0" fontId="12" fillId="0" borderId="0" xfId="1" applyFont="1" applyAlignment="1">
      <alignment vertical="top"/>
    </xf>
    <xf numFmtId="1" fontId="3" fillId="2" borderId="0" xfId="0" applyNumberFormat="1" applyFont="1" applyFill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15" fontId="2" fillId="6" borderId="0" xfId="0" applyNumberFormat="1" applyFont="1" applyFill="1" applyAlignment="1">
      <alignment horizontal="left" vertical="top"/>
    </xf>
    <xf numFmtId="15" fontId="0" fillId="0" borderId="0" xfId="0" applyNumberFormat="1" applyAlignment="1">
      <alignment horizontal="left" vertical="top"/>
    </xf>
    <xf numFmtId="15" fontId="5" fillId="0" borderId="0" xfId="0" applyNumberFormat="1" applyFont="1" applyAlignment="1">
      <alignment horizontal="center" vertical="top"/>
    </xf>
    <xf numFmtId="15" fontId="9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../../../Nats/08-repo/01-clouddrive/OneDrive/01-nats/03-sections/04-coding/03-sections/02-python/25.2-artefacts/02-sop/02-0-naming-convention-pep8-python-grok-20251016.pdf" TargetMode="External"/><Relationship Id="rId3" Type="http://schemas.openxmlformats.org/officeDocument/2006/relationships/hyperlink" Target="https://1drv.ms/b/c/7ed5adc4583004a8/EZkgJPdowexDolrsavbgj6cBvRDPo3UqGIYB7MBIw2bHxA?e=rTzbc8" TargetMode="External"/><Relationship Id="rId7" Type="http://schemas.openxmlformats.org/officeDocument/2006/relationships/hyperlink" Target="https://grok.com/share/bGVnYWN5_6aca9c6e-6c28-4c2d-a9a8-25a80023396f" TargetMode="External"/><Relationship Id="rId2" Type="http://schemas.openxmlformats.org/officeDocument/2006/relationships/hyperlink" Target="../../../Nats/08-repo/01-clouddrive/OneDrive/01-nats/03-sections/04-coding/03-sections/02-python/25.2-artefacts/02-sop/01-0-conventions-package-structure-grok-20oct2025.pdf" TargetMode="External"/><Relationship Id="rId1" Type="http://schemas.openxmlformats.org/officeDocument/2006/relationships/hyperlink" Target="https://grok.com/share/bGVnYWN5_17f5b6d4-4e34-4d7a-97ea-1e7e0a612501" TargetMode="External"/><Relationship Id="rId6" Type="http://schemas.openxmlformats.org/officeDocument/2006/relationships/hyperlink" Target="https://1drv.ms/b/c/7ed5adc4583004a8/EUijJfLsc05CgcxoYcJlgx4BevGsfWGL-Mz-29z_0o3_7w?e=ftTsXL" TargetMode="External"/><Relationship Id="rId5" Type="http://schemas.openxmlformats.org/officeDocument/2006/relationships/hyperlink" Target="../../../Nats/08-repo/01-clouddrive/OneDrive/01-nats/03-sections/04-coding/03-sections/02-python/25.2-artefacts/02-sop/01-1-inner-n-outer-package-name-clarification-grok-20oct2025.pdf" TargetMode="External"/><Relationship Id="rId4" Type="http://schemas.openxmlformats.org/officeDocument/2006/relationships/hyperlink" Target="https://grok.com/share/bGVnYWN5_798fa2f7-71b0-481c-8858-caa22fc85bec" TargetMode="External"/><Relationship Id="rId9" Type="http://schemas.openxmlformats.org/officeDocument/2006/relationships/hyperlink" Target="https://1drv.ms/b/c/7ed5adc4583004a8/EVFw4qCLkjpNqCgDAMq9W70BNINYU3ZtIdCA1NiSpt6LNw?e=QldS3I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L3"/>
  <sheetViews>
    <sheetView workbookViewId="0">
      <pane ySplit="1" topLeftCell="A2" activePane="bottomLeft" state="frozen"/>
      <selection pane="bottomLeft" activeCell="D28" sqref="D28"/>
    </sheetView>
  </sheetViews>
  <sheetFormatPr defaultColWidth="9.140625" defaultRowHeight="15" x14ac:dyDescent="0.25"/>
  <cols>
    <col min="1" max="1" width="7.140625" style="29" customWidth="1"/>
    <col min="2" max="2" width="14.5703125" style="12" customWidth="1"/>
    <col min="3" max="3" width="19.140625" style="12" customWidth="1"/>
    <col min="4" max="4" width="61.5703125" style="12" customWidth="1"/>
    <col min="5" max="5" width="25.5703125" style="12" customWidth="1"/>
    <col min="6" max="7" width="10.28515625" style="12" customWidth="1"/>
    <col min="8" max="8" width="7.85546875" style="12" customWidth="1"/>
    <col min="9" max="10" width="8.7109375" style="63" customWidth="1"/>
    <col min="11" max="11" width="10.42578125" style="19" customWidth="1"/>
    <col min="12" max="12" width="22.28515625" style="12" customWidth="1"/>
    <col min="13" max="16384" width="9.140625" style="12"/>
  </cols>
  <sheetData>
    <row r="1" spans="1:12" s="18" customFormat="1" x14ac:dyDescent="0.25">
      <c r="A1" s="28" t="s">
        <v>152</v>
      </c>
      <c r="B1" s="20" t="s">
        <v>40</v>
      </c>
      <c r="C1" s="20" t="s">
        <v>171</v>
      </c>
      <c r="D1" s="20" t="s">
        <v>41</v>
      </c>
      <c r="E1" s="20" t="s">
        <v>130</v>
      </c>
      <c r="F1" s="20" t="s">
        <v>100</v>
      </c>
      <c r="G1" s="20" t="s">
        <v>131</v>
      </c>
      <c r="H1" s="20" t="s">
        <v>132</v>
      </c>
      <c r="I1" s="62" t="s">
        <v>156</v>
      </c>
      <c r="J1" s="62" t="s">
        <v>162</v>
      </c>
      <c r="K1" s="21" t="s">
        <v>119</v>
      </c>
      <c r="L1" s="21" t="s">
        <v>10</v>
      </c>
    </row>
    <row r="2" spans="1:12" x14ac:dyDescent="0.25">
      <c r="A2" s="29" t="s">
        <v>123</v>
      </c>
      <c r="I2" s="7" t="s">
        <v>127</v>
      </c>
      <c r="J2" s="7"/>
      <c r="K2" s="19">
        <v>45960</v>
      </c>
    </row>
    <row r="3" spans="1:12" x14ac:dyDescent="0.25">
      <c r="A3" s="29" t="s">
        <v>124</v>
      </c>
      <c r="I3" s="7" t="s">
        <v>157</v>
      </c>
      <c r="J3" s="7"/>
      <c r="K3" s="19">
        <v>45960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I21"/>
  <sheetViews>
    <sheetView workbookViewId="0">
      <pane ySplit="1" topLeftCell="A2" activePane="bottomLeft" state="frozen"/>
      <selection pane="bottomLeft" activeCell="D15" sqref="D15"/>
    </sheetView>
  </sheetViews>
  <sheetFormatPr defaultColWidth="8.7109375" defaultRowHeight="15" x14ac:dyDescent="0.25"/>
  <cols>
    <col min="1" max="1" width="8.7109375" style="7"/>
    <col min="2" max="2" width="10" style="10" customWidth="1"/>
    <col min="3" max="3" width="13" style="10" customWidth="1"/>
    <col min="4" max="4" width="72.28515625" style="12" customWidth="1"/>
    <col min="5" max="5" width="25.42578125" style="12" customWidth="1"/>
    <col min="6" max="6" width="8.7109375" style="7" customWidth="1"/>
    <col min="7" max="7" width="8.85546875" style="7" customWidth="1"/>
    <col min="8" max="8" width="7.5703125" style="7" customWidth="1"/>
    <col min="9" max="9" width="23.85546875" style="8" customWidth="1"/>
    <col min="10" max="16384" width="8.7109375" style="8"/>
  </cols>
  <sheetData>
    <row r="1" spans="1:9" s="6" customFormat="1" x14ac:dyDescent="0.25">
      <c r="A1" s="1" t="s">
        <v>38</v>
      </c>
      <c r="B1" s="17" t="s">
        <v>2</v>
      </c>
      <c r="C1" s="17" t="s">
        <v>40</v>
      </c>
      <c r="D1" s="2" t="s">
        <v>39</v>
      </c>
      <c r="E1" s="2" t="s">
        <v>130</v>
      </c>
      <c r="F1" s="1" t="s">
        <v>100</v>
      </c>
      <c r="G1" s="1" t="s">
        <v>131</v>
      </c>
      <c r="H1" s="1" t="s">
        <v>132</v>
      </c>
      <c r="I1" s="3" t="s">
        <v>10</v>
      </c>
    </row>
    <row r="2" spans="1:9" x14ac:dyDescent="0.25">
      <c r="A2" s="7" t="s">
        <v>74</v>
      </c>
      <c r="B2" s="10">
        <v>45453</v>
      </c>
      <c r="C2" s="10" t="s">
        <v>164</v>
      </c>
      <c r="D2" s="12" t="s">
        <v>94</v>
      </c>
    </row>
    <row r="3" spans="1:9" ht="30" x14ac:dyDescent="0.25">
      <c r="A3" s="7" t="s">
        <v>75</v>
      </c>
      <c r="B3" s="10">
        <v>45496</v>
      </c>
      <c r="C3" s="10" t="s">
        <v>164</v>
      </c>
      <c r="D3" s="12" t="s">
        <v>97</v>
      </c>
    </row>
    <row r="4" spans="1:9" x14ac:dyDescent="0.25">
      <c r="A4" s="7" t="s">
        <v>76</v>
      </c>
      <c r="B4" s="10">
        <v>45575</v>
      </c>
      <c r="C4" s="10" t="s">
        <v>165</v>
      </c>
      <c r="D4" s="12" t="s">
        <v>105</v>
      </c>
    </row>
    <row r="5" spans="1:9" x14ac:dyDescent="0.25">
      <c r="A5" s="7" t="s">
        <v>77</v>
      </c>
      <c r="B5" s="10">
        <v>45759</v>
      </c>
      <c r="C5" s="10" t="s">
        <v>166</v>
      </c>
      <c r="D5" s="12" t="s">
        <v>112</v>
      </c>
    </row>
    <row r="6" spans="1:9" x14ac:dyDescent="0.25">
      <c r="A6" s="7" t="s">
        <v>78</v>
      </c>
      <c r="B6" s="10">
        <v>45760</v>
      </c>
      <c r="C6" s="10" t="s">
        <v>167</v>
      </c>
      <c r="D6" s="12" t="s">
        <v>118</v>
      </c>
    </row>
    <row r="7" spans="1:9" x14ac:dyDescent="0.25">
      <c r="A7" s="7" t="s">
        <v>79</v>
      </c>
      <c r="B7" s="10">
        <v>45760</v>
      </c>
      <c r="C7" s="10" t="s">
        <v>168</v>
      </c>
      <c r="D7" s="12" t="s">
        <v>120</v>
      </c>
    </row>
    <row r="8" spans="1:9" x14ac:dyDescent="0.25">
      <c r="A8" s="7" t="s">
        <v>80</v>
      </c>
      <c r="B8" s="10">
        <v>45950</v>
      </c>
      <c r="C8" s="10" t="s">
        <v>169</v>
      </c>
      <c r="D8" s="12" t="s">
        <v>151</v>
      </c>
    </row>
    <row r="9" spans="1:9" ht="75" x14ac:dyDescent="0.25">
      <c r="A9" s="7" t="s">
        <v>81</v>
      </c>
      <c r="B9" s="10">
        <v>45960</v>
      </c>
      <c r="C9" s="10" t="s">
        <v>170</v>
      </c>
      <c r="D9" s="12" t="s">
        <v>163</v>
      </c>
    </row>
    <row r="10" spans="1:9" x14ac:dyDescent="0.25">
      <c r="A10" s="7" t="s">
        <v>82</v>
      </c>
    </row>
    <row r="11" spans="1:9" x14ac:dyDescent="0.25">
      <c r="A11" s="7" t="s">
        <v>83</v>
      </c>
    </row>
    <row r="12" spans="1:9" x14ac:dyDescent="0.25">
      <c r="A12" s="7" t="s">
        <v>84</v>
      </c>
    </row>
    <row r="13" spans="1:9" x14ac:dyDescent="0.25">
      <c r="A13" s="7" t="s">
        <v>85</v>
      </c>
    </row>
    <row r="14" spans="1:9" x14ac:dyDescent="0.25">
      <c r="A14" s="7" t="s">
        <v>86</v>
      </c>
    </row>
    <row r="15" spans="1:9" x14ac:dyDescent="0.25">
      <c r="A15" s="7" t="s">
        <v>87</v>
      </c>
    </row>
    <row r="16" spans="1:9" x14ac:dyDescent="0.25">
      <c r="A16" s="7" t="s">
        <v>88</v>
      </c>
    </row>
    <row r="17" spans="1:1" x14ac:dyDescent="0.25">
      <c r="A17" s="7" t="s">
        <v>89</v>
      </c>
    </row>
    <row r="18" spans="1:1" x14ac:dyDescent="0.25">
      <c r="A18" s="7" t="s">
        <v>90</v>
      </c>
    </row>
    <row r="19" spans="1:1" x14ac:dyDescent="0.25">
      <c r="A19" s="7" t="s">
        <v>91</v>
      </c>
    </row>
    <row r="20" spans="1:1" x14ac:dyDescent="0.25">
      <c r="A20" s="7" t="s">
        <v>92</v>
      </c>
    </row>
    <row r="21" spans="1:1" x14ac:dyDescent="0.25">
      <c r="A21" s="7" t="s">
        <v>93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2069-7F3D-4288-929A-1A67E3E40B71}">
  <sheetPr>
    <tabColor rgb="FFFFFF00"/>
  </sheetPr>
  <dimension ref="A1:S11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ColWidth="8.7109375" defaultRowHeight="15" x14ac:dyDescent="0.25"/>
  <cols>
    <col min="1" max="1" width="8.7109375" style="7"/>
    <col min="2" max="2" width="15.42578125" style="7" customWidth="1"/>
    <col min="3" max="3" width="56" style="12" customWidth="1"/>
    <col min="4" max="4" width="9.85546875" style="8" bestFit="1" customWidth="1"/>
    <col min="5" max="5" width="9.85546875" style="50" customWidth="1"/>
    <col min="6" max="6" width="5.85546875" style="52" customWidth="1"/>
    <col min="7" max="7" width="10.5703125" style="11" customWidth="1"/>
    <col min="8" max="8" width="8.7109375" style="7"/>
    <col min="9" max="9" width="8.7109375" style="7" customWidth="1"/>
    <col min="10" max="11" width="7.85546875" style="9" customWidth="1"/>
    <col min="12" max="12" width="8.7109375" style="33" customWidth="1"/>
    <col min="13" max="13" width="8.7109375" style="34" customWidth="1"/>
    <col min="14" max="14" width="9.85546875" style="36" customWidth="1"/>
    <col min="15" max="15" width="9.85546875" style="8" bestFit="1" customWidth="1"/>
    <col min="16" max="16" width="6" style="7" customWidth="1"/>
    <col min="17" max="17" width="5.85546875" style="7" customWidth="1"/>
    <col min="18" max="18" width="9.85546875" style="10" customWidth="1"/>
    <col min="19" max="19" width="19.5703125" style="8" customWidth="1"/>
    <col min="20" max="16384" width="8.7109375" style="8"/>
  </cols>
  <sheetData>
    <row r="1" spans="1:19" s="6" customFormat="1" x14ac:dyDescent="0.25">
      <c r="A1" s="1" t="s">
        <v>0</v>
      </c>
      <c r="B1" s="1" t="s">
        <v>171</v>
      </c>
      <c r="C1" s="2" t="s">
        <v>1</v>
      </c>
      <c r="D1" s="3" t="s">
        <v>2</v>
      </c>
      <c r="E1" s="48" t="s">
        <v>96</v>
      </c>
      <c r="F1" s="51" t="s">
        <v>106</v>
      </c>
      <c r="G1" s="5" t="s">
        <v>8</v>
      </c>
      <c r="H1" s="1" t="s">
        <v>100</v>
      </c>
      <c r="I1" s="1" t="s">
        <v>3</v>
      </c>
      <c r="J1" s="4" t="s">
        <v>4</v>
      </c>
      <c r="K1" s="1" t="s">
        <v>5</v>
      </c>
      <c r="L1" s="30" t="s">
        <v>6</v>
      </c>
      <c r="M1" s="31" t="s">
        <v>95</v>
      </c>
      <c r="N1" s="32" t="s">
        <v>7</v>
      </c>
      <c r="O1" s="3" t="s">
        <v>9</v>
      </c>
      <c r="P1" s="1" t="s">
        <v>131</v>
      </c>
      <c r="Q1" s="1" t="s">
        <v>132</v>
      </c>
      <c r="R1" s="17" t="s">
        <v>119</v>
      </c>
      <c r="S1" s="3" t="s">
        <v>10</v>
      </c>
    </row>
    <row r="2" spans="1:19" x14ac:dyDescent="0.25">
      <c r="A2" s="7" t="s">
        <v>43</v>
      </c>
      <c r="C2" s="12" t="s">
        <v>12</v>
      </c>
      <c r="E2" s="49">
        <v>44864</v>
      </c>
      <c r="F2" s="52">
        <f>E2-N2</f>
        <v>61</v>
      </c>
      <c r="G2" s="11" t="s">
        <v>14</v>
      </c>
      <c r="H2" s="7" t="s">
        <v>13</v>
      </c>
      <c r="J2" s="9">
        <v>3</v>
      </c>
      <c r="K2" s="9" t="s">
        <v>17</v>
      </c>
      <c r="L2" s="33">
        <v>2.0833333333333332E-2</v>
      </c>
      <c r="M2" s="34">
        <f>CEILING((L2*60*24)/25,1)</f>
        <v>2</v>
      </c>
      <c r="N2" s="35">
        <v>44803</v>
      </c>
    </row>
    <row r="3" spans="1:19" x14ac:dyDescent="0.25">
      <c r="A3" s="7" t="s">
        <v>44</v>
      </c>
      <c r="D3" s="10"/>
      <c r="N3" s="35"/>
    </row>
    <row r="4" spans="1:19" x14ac:dyDescent="0.25">
      <c r="A4" s="7" t="s">
        <v>45</v>
      </c>
      <c r="D4" s="10"/>
    </row>
    <row r="5" spans="1:19" x14ac:dyDescent="0.25">
      <c r="A5" s="7" t="s">
        <v>46</v>
      </c>
      <c r="D5" s="10"/>
    </row>
    <row r="6" spans="1:19" x14ac:dyDescent="0.25">
      <c r="A6" s="7" t="s">
        <v>47</v>
      </c>
      <c r="D6" s="10"/>
    </row>
    <row r="7" spans="1:19" x14ac:dyDescent="0.25">
      <c r="A7" s="7" t="s">
        <v>48</v>
      </c>
      <c r="D7" s="10"/>
      <c r="E7" s="49"/>
      <c r="N7" s="35"/>
    </row>
    <row r="8" spans="1:19" x14ac:dyDescent="0.25">
      <c r="A8" s="7" t="s">
        <v>49</v>
      </c>
      <c r="D8" s="10"/>
      <c r="N8" s="35"/>
    </row>
    <row r="9" spans="1:19" x14ac:dyDescent="0.25">
      <c r="A9" s="7" t="s">
        <v>11</v>
      </c>
    </row>
    <row r="10" spans="1:19" x14ac:dyDescent="0.25">
      <c r="A10" s="7" t="s">
        <v>50</v>
      </c>
    </row>
    <row r="11" spans="1:19" x14ac:dyDescent="0.25">
      <c r="A11" s="7" t="s">
        <v>51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3"/>
  <sheetViews>
    <sheetView workbookViewId="0">
      <pane ySplit="1" topLeftCell="A2" activePane="bottomLeft" state="frozen"/>
      <selection pane="bottomLeft" activeCell="C2" sqref="C2"/>
    </sheetView>
  </sheetViews>
  <sheetFormatPr defaultColWidth="9.140625" defaultRowHeight="15" x14ac:dyDescent="0.25"/>
  <cols>
    <col min="1" max="1" width="8.28515625" style="29" customWidth="1"/>
    <col min="2" max="2" width="9.5703125" style="19" bestFit="1" customWidth="1"/>
    <col min="3" max="3" width="12.7109375" style="19" customWidth="1"/>
    <col min="4" max="4" width="44.7109375" style="12" customWidth="1"/>
    <col min="5" max="5" width="41" style="27" customWidth="1"/>
    <col min="6" max="6" width="12.28515625" style="23" customWidth="1"/>
    <col min="7" max="7" width="10.140625" style="19" bestFit="1" customWidth="1"/>
    <col min="8" max="8" width="4.85546875" style="72" customWidth="1"/>
    <col min="9" max="9" width="9.140625" style="12"/>
    <col min="10" max="12" width="7.140625" style="12" customWidth="1"/>
    <col min="13" max="13" width="9.5703125" style="19" bestFit="1" customWidth="1"/>
    <col min="14" max="14" width="9.5703125" style="19" customWidth="1"/>
    <col min="15" max="15" width="21.85546875" style="12" customWidth="1"/>
    <col min="16" max="16384" width="9.140625" style="12"/>
  </cols>
  <sheetData>
    <row r="1" spans="1:15" s="18" customFormat="1" x14ac:dyDescent="0.25">
      <c r="A1" s="73" t="s">
        <v>67</v>
      </c>
      <c r="B1" s="25" t="s">
        <v>2</v>
      </c>
      <c r="C1" s="25" t="s">
        <v>40</v>
      </c>
      <c r="D1" s="2" t="s">
        <v>68</v>
      </c>
      <c r="E1" s="26" t="s">
        <v>71</v>
      </c>
      <c r="F1" s="24" t="s">
        <v>8</v>
      </c>
      <c r="G1" s="25" t="s">
        <v>96</v>
      </c>
      <c r="H1" s="71" t="s">
        <v>106</v>
      </c>
      <c r="I1" s="2" t="s">
        <v>100</v>
      </c>
      <c r="J1" s="2" t="s">
        <v>131</v>
      </c>
      <c r="K1" s="2" t="s">
        <v>132</v>
      </c>
      <c r="L1" s="2" t="s">
        <v>152</v>
      </c>
      <c r="M1" s="25" t="s">
        <v>7</v>
      </c>
      <c r="N1" s="25" t="s">
        <v>119</v>
      </c>
      <c r="O1" s="2" t="s">
        <v>10</v>
      </c>
    </row>
    <row r="2" spans="1:15" x14ac:dyDescent="0.25">
      <c r="A2" s="29" t="s">
        <v>69</v>
      </c>
      <c r="B2" s="19">
        <v>45036</v>
      </c>
      <c r="C2" s="19" t="s">
        <v>170</v>
      </c>
      <c r="D2" s="12" t="s">
        <v>70</v>
      </c>
      <c r="F2" s="23" t="s">
        <v>16</v>
      </c>
      <c r="G2" s="19">
        <v>45071</v>
      </c>
      <c r="H2" s="72">
        <f>G2-M2</f>
        <v>35</v>
      </c>
      <c r="M2" s="19">
        <v>45036</v>
      </c>
      <c r="N2" s="19">
        <v>45960</v>
      </c>
    </row>
    <row r="3" spans="1:15" x14ac:dyDescent="0.25">
      <c r="A3" s="29" t="s">
        <v>72</v>
      </c>
      <c r="B3" s="19">
        <v>45036</v>
      </c>
      <c r="C3" s="19" t="s">
        <v>170</v>
      </c>
      <c r="D3" s="12" t="s">
        <v>73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D83-9B74-4A3F-85B5-265D118D5FC7}">
  <sheetPr>
    <tabColor theme="6" tint="-0.249977111117893"/>
  </sheetPr>
  <dimension ref="A1:M7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9.140625" defaultRowHeight="15" x14ac:dyDescent="0.25"/>
  <cols>
    <col min="1" max="1" width="9.140625" style="29"/>
    <col min="2" max="2" width="14" style="12" customWidth="1"/>
    <col min="3" max="3" width="42.7109375" style="12" customWidth="1"/>
    <col min="4" max="4" width="12.28515625" style="23" customWidth="1"/>
    <col min="5" max="5" width="17.85546875" style="43" customWidth="1"/>
    <col min="6" max="6" width="24.5703125" style="43" customWidth="1"/>
    <col min="7" max="7" width="31.5703125" style="43" customWidth="1"/>
    <col min="8" max="8" width="9.140625" style="12"/>
    <col min="9" max="9" width="7.140625" style="29" customWidth="1"/>
    <col min="10" max="10" width="5.7109375" style="29" customWidth="1"/>
    <col min="11" max="11" width="6.85546875" style="29" customWidth="1"/>
    <col min="12" max="12" width="10.5703125" style="19" customWidth="1"/>
    <col min="13" max="13" width="30.5703125" style="12" customWidth="1"/>
    <col min="14" max="16384" width="9.140625" style="12"/>
  </cols>
  <sheetData>
    <row r="1" spans="1:13" s="18" customFormat="1" x14ac:dyDescent="0.25">
      <c r="A1" s="61" t="s">
        <v>113</v>
      </c>
      <c r="B1" s="56" t="s">
        <v>40</v>
      </c>
      <c r="C1" s="56" t="s">
        <v>114</v>
      </c>
      <c r="D1" s="57" t="s">
        <v>8</v>
      </c>
      <c r="E1" s="58" t="s">
        <v>130</v>
      </c>
      <c r="F1" s="58" t="s">
        <v>115</v>
      </c>
      <c r="G1" s="58" t="s">
        <v>116</v>
      </c>
      <c r="H1" s="56" t="s">
        <v>100</v>
      </c>
      <c r="I1" s="61" t="s">
        <v>131</v>
      </c>
      <c r="J1" s="61" t="s">
        <v>132</v>
      </c>
      <c r="K1" s="61" t="s">
        <v>152</v>
      </c>
      <c r="L1" s="60" t="s">
        <v>119</v>
      </c>
      <c r="M1" s="56" t="s">
        <v>10</v>
      </c>
    </row>
    <row r="2" spans="1:13" x14ac:dyDescent="0.25">
      <c r="A2" s="29" t="s">
        <v>179</v>
      </c>
      <c r="C2" s="12" t="s">
        <v>173</v>
      </c>
      <c r="D2" s="23" t="s">
        <v>185</v>
      </c>
      <c r="L2" s="19">
        <v>45965</v>
      </c>
    </row>
    <row r="3" spans="1:13" x14ac:dyDescent="0.25">
      <c r="A3" s="29" t="s">
        <v>180</v>
      </c>
      <c r="C3" s="12" t="s">
        <v>174</v>
      </c>
      <c r="D3" s="23" t="s">
        <v>14</v>
      </c>
      <c r="L3" s="19">
        <v>45964</v>
      </c>
    </row>
    <row r="4" spans="1:13" x14ac:dyDescent="0.25">
      <c r="A4" s="29" t="s">
        <v>181</v>
      </c>
      <c r="C4" s="12" t="s">
        <v>175</v>
      </c>
      <c r="D4" s="23" t="s">
        <v>14</v>
      </c>
      <c r="L4" s="19">
        <v>45964</v>
      </c>
    </row>
    <row r="5" spans="1:13" x14ac:dyDescent="0.25">
      <c r="A5" s="29" t="s">
        <v>182</v>
      </c>
      <c r="C5" s="12" t="s">
        <v>176</v>
      </c>
      <c r="D5" s="23" t="s">
        <v>14</v>
      </c>
      <c r="L5" s="19">
        <v>45964</v>
      </c>
    </row>
    <row r="6" spans="1:13" x14ac:dyDescent="0.25">
      <c r="A6" s="29" t="s">
        <v>183</v>
      </c>
      <c r="C6" s="12" t="s">
        <v>177</v>
      </c>
      <c r="D6" s="23" t="s">
        <v>14</v>
      </c>
      <c r="L6" s="19">
        <v>45964</v>
      </c>
    </row>
    <row r="7" spans="1:13" x14ac:dyDescent="0.25">
      <c r="A7" s="29" t="s">
        <v>184</v>
      </c>
      <c r="C7" s="12" t="s">
        <v>178</v>
      </c>
      <c r="D7" s="23" t="s">
        <v>14</v>
      </c>
      <c r="L7" s="19">
        <v>45964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DE19-72AA-443D-A469-A7B05B81B3A6}">
  <sheetPr>
    <tabColor theme="9" tint="0.39997558519241921"/>
  </sheetPr>
  <dimension ref="A1:K3"/>
  <sheetViews>
    <sheetView workbookViewId="0">
      <pane ySplit="1" topLeftCell="A2" activePane="bottomLeft" state="frozen"/>
      <selection pane="bottomLeft" activeCell="D21" sqref="D21"/>
    </sheetView>
  </sheetViews>
  <sheetFormatPr defaultColWidth="8.7109375" defaultRowHeight="15" x14ac:dyDescent="0.25"/>
  <cols>
    <col min="1" max="1" width="8.7109375" style="7"/>
    <col min="2" max="2" width="12.140625" style="7" customWidth="1"/>
    <col min="3" max="3" width="18.85546875" style="7" customWidth="1"/>
    <col min="4" max="4" width="110.5703125" style="12" customWidth="1"/>
    <col min="5" max="5" width="21" style="12" customWidth="1"/>
    <col min="6" max="6" width="9.7109375" style="7" customWidth="1"/>
    <col min="7" max="7" width="9" style="7" customWidth="1"/>
    <col min="8" max="8" width="6.7109375" style="7" customWidth="1"/>
    <col min="9" max="9" width="8.140625" style="7" customWidth="1"/>
    <col min="10" max="10" width="9.85546875" style="77" customWidth="1"/>
    <col min="11" max="11" width="23.85546875" style="8" customWidth="1"/>
    <col min="12" max="16384" width="8.7109375" style="8"/>
  </cols>
  <sheetData>
    <row r="1" spans="1:11" s="6" customFormat="1" x14ac:dyDescent="0.25">
      <c r="A1" s="53" t="s">
        <v>107</v>
      </c>
      <c r="B1" s="53" t="s">
        <v>40</v>
      </c>
      <c r="C1" s="53" t="s">
        <v>171</v>
      </c>
      <c r="D1" s="54" t="s">
        <v>108</v>
      </c>
      <c r="E1" s="54" t="s">
        <v>130</v>
      </c>
      <c r="F1" s="53" t="s">
        <v>100</v>
      </c>
      <c r="G1" s="53" t="s">
        <v>131</v>
      </c>
      <c r="H1" s="53" t="s">
        <v>132</v>
      </c>
      <c r="I1" s="53" t="s">
        <v>152</v>
      </c>
      <c r="J1" s="76" t="s">
        <v>119</v>
      </c>
      <c r="K1" s="55" t="s">
        <v>10</v>
      </c>
    </row>
    <row r="2" spans="1:11" x14ac:dyDescent="0.25">
      <c r="A2" s="7" t="s">
        <v>125</v>
      </c>
      <c r="B2" s="7" t="s">
        <v>109</v>
      </c>
      <c r="D2" s="75" t="s">
        <v>110</v>
      </c>
      <c r="E2" s="18"/>
      <c r="F2" s="7" t="s">
        <v>121</v>
      </c>
      <c r="J2" s="77">
        <v>45962</v>
      </c>
    </row>
    <row r="3" spans="1:11" ht="30" x14ac:dyDescent="0.25">
      <c r="A3" s="7" t="s">
        <v>126</v>
      </c>
      <c r="B3" s="7" t="s">
        <v>109</v>
      </c>
      <c r="D3" s="12" t="s">
        <v>111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F60F-7861-42D6-856A-EE1DE93CAC00}">
  <sheetPr>
    <tabColor theme="3" tint="0.59999389629810485"/>
  </sheetPr>
  <dimension ref="A1:K3"/>
  <sheetViews>
    <sheetView workbookViewId="0">
      <pane ySplit="1" topLeftCell="A2" activePane="bottomLeft" state="frozen"/>
      <selection pane="bottomLeft" activeCell="F2" sqref="F2"/>
    </sheetView>
  </sheetViews>
  <sheetFormatPr defaultColWidth="9.28515625" defaultRowHeight="15" x14ac:dyDescent="0.25"/>
  <cols>
    <col min="1" max="1" width="9" style="7" customWidth="1"/>
    <col min="2" max="2" width="24.7109375" style="12" customWidth="1"/>
    <col min="3" max="3" width="12.28515625" style="12" customWidth="1"/>
    <col min="4" max="4" width="77.140625" style="12" customWidth="1"/>
    <col min="5" max="5" width="17.42578125" style="12" customWidth="1"/>
    <col min="6" max="6" width="11.28515625" style="8" customWidth="1"/>
    <col min="7" max="7" width="8.140625" style="8" customWidth="1"/>
    <col min="8" max="8" width="7" style="8" customWidth="1"/>
    <col min="9" max="9" width="7.7109375" style="66" customWidth="1"/>
    <col min="10" max="10" width="9.5703125" style="10" customWidth="1"/>
    <col min="11" max="11" width="21.28515625" style="8" customWidth="1"/>
    <col min="12" max="16384" width="9.28515625" style="8"/>
  </cols>
  <sheetData>
    <row r="1" spans="1:11" s="6" customFormat="1" x14ac:dyDescent="0.25">
      <c r="A1" s="44" t="s">
        <v>98</v>
      </c>
      <c r="B1" s="45" t="s">
        <v>99</v>
      </c>
      <c r="C1" s="45" t="s">
        <v>40</v>
      </c>
      <c r="D1" s="45" t="s">
        <v>22</v>
      </c>
      <c r="E1" s="45" t="s">
        <v>130</v>
      </c>
      <c r="F1" s="46" t="s">
        <v>100</v>
      </c>
      <c r="G1" s="46" t="s">
        <v>131</v>
      </c>
      <c r="H1" s="46" t="s">
        <v>132</v>
      </c>
      <c r="I1" s="64" t="s">
        <v>152</v>
      </c>
      <c r="J1" s="59" t="s">
        <v>119</v>
      </c>
      <c r="K1" s="46" t="s">
        <v>10</v>
      </c>
    </row>
    <row r="2" spans="1:11" x14ac:dyDescent="0.25">
      <c r="A2" s="7" t="s">
        <v>127</v>
      </c>
      <c r="B2" s="12" t="s">
        <v>101</v>
      </c>
      <c r="D2" s="12" t="s">
        <v>102</v>
      </c>
      <c r="F2" s="70"/>
      <c r="G2" s="47"/>
      <c r="H2" s="47"/>
      <c r="I2" s="65" t="s">
        <v>123</v>
      </c>
      <c r="J2" s="10">
        <v>45948</v>
      </c>
    </row>
    <row r="3" spans="1:11" x14ac:dyDescent="0.25">
      <c r="A3" s="7" t="s">
        <v>128</v>
      </c>
      <c r="B3" s="12" t="s">
        <v>103</v>
      </c>
      <c r="D3" s="12" t="s">
        <v>104</v>
      </c>
      <c r="I3" s="66" t="s">
        <v>124</v>
      </c>
      <c r="J3" s="10">
        <v>45948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L2"/>
  <sheetViews>
    <sheetView workbookViewId="0">
      <pane ySplit="1" topLeftCell="A2" activePane="bottomLeft" state="frozen"/>
      <selection pane="bottomLeft" activeCell="D2" sqref="D2"/>
    </sheetView>
  </sheetViews>
  <sheetFormatPr defaultColWidth="9.140625" defaultRowHeight="15" x14ac:dyDescent="0.25"/>
  <cols>
    <col min="1" max="1" width="3.140625" style="8" customWidth="1"/>
    <col min="2" max="2" width="7.85546875" style="7" customWidth="1"/>
    <col min="3" max="3" width="14" style="8" customWidth="1"/>
    <col min="4" max="4" width="16.85546875" style="8" customWidth="1"/>
    <col min="5" max="5" width="59.140625" style="8" customWidth="1"/>
    <col min="6" max="6" width="15.85546875" style="8" customWidth="1"/>
    <col min="7" max="7" width="10.28515625" style="8" customWidth="1"/>
    <col min="8" max="8" width="6.85546875" style="8" customWidth="1"/>
    <col min="9" max="9" width="5.28515625" style="8" customWidth="1"/>
    <col min="10" max="10" width="7.85546875" style="8" customWidth="1"/>
    <col min="11" max="11" width="10.140625" style="10" customWidth="1"/>
    <col min="12" max="12" width="26.7109375" style="8" customWidth="1"/>
    <col min="13" max="16384" width="9.140625" style="8"/>
  </cols>
  <sheetData>
    <row r="1" spans="1:12" s="6" customFormat="1" x14ac:dyDescent="0.25">
      <c r="A1" s="3" t="s">
        <v>52</v>
      </c>
      <c r="B1" s="1" t="s">
        <v>154</v>
      </c>
      <c r="C1" s="3" t="s">
        <v>40</v>
      </c>
      <c r="D1" s="3" t="s">
        <v>171</v>
      </c>
      <c r="E1" s="3" t="s">
        <v>155</v>
      </c>
      <c r="F1" s="3" t="s">
        <v>130</v>
      </c>
      <c r="G1" s="3" t="s">
        <v>100</v>
      </c>
      <c r="H1" s="3" t="s">
        <v>131</v>
      </c>
      <c r="I1" s="3" t="s">
        <v>132</v>
      </c>
      <c r="J1" s="3" t="s">
        <v>152</v>
      </c>
      <c r="K1" s="17" t="s">
        <v>119</v>
      </c>
      <c r="L1" s="3" t="s">
        <v>10</v>
      </c>
    </row>
    <row r="2" spans="1:12" x14ac:dyDescent="0.25">
      <c r="B2" s="7" t="s">
        <v>122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D874-2FBA-4B19-8425-1429BACFB5FA}">
  <sheetPr>
    <tabColor theme="9" tint="0.39997558519241921"/>
  </sheetPr>
  <dimension ref="A1:K6"/>
  <sheetViews>
    <sheetView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6.85546875" style="29" customWidth="1"/>
    <col min="2" max="2" width="13.28515625" style="12" customWidth="1"/>
    <col min="3" max="3" width="22.5703125" style="12" customWidth="1"/>
    <col min="4" max="4" width="59.5703125" style="12" customWidth="1"/>
    <col min="5" max="5" width="25.5703125" style="12" customWidth="1"/>
    <col min="6" max="7" width="10.28515625" style="12" customWidth="1"/>
    <col min="8" max="9" width="9.140625" style="12"/>
    <col min="10" max="10" width="10" style="69" customWidth="1"/>
    <col min="11" max="11" width="34.7109375" style="12" customWidth="1"/>
    <col min="12" max="16384" width="9.140625" style="12"/>
  </cols>
  <sheetData>
    <row r="1" spans="1:11" s="18" customFormat="1" x14ac:dyDescent="0.25">
      <c r="A1" s="73" t="s">
        <v>129</v>
      </c>
      <c r="B1" s="2" t="s">
        <v>40</v>
      </c>
      <c r="C1" s="2" t="s">
        <v>171</v>
      </c>
      <c r="D1" s="2" t="s">
        <v>172</v>
      </c>
      <c r="E1" s="2" t="s">
        <v>130</v>
      </c>
      <c r="F1" s="2" t="s">
        <v>100</v>
      </c>
      <c r="G1" s="2" t="s">
        <v>131</v>
      </c>
      <c r="H1" s="2" t="s">
        <v>132</v>
      </c>
      <c r="I1" s="2" t="s">
        <v>152</v>
      </c>
      <c r="J1" s="67" t="s">
        <v>119</v>
      </c>
      <c r="K1" s="2" t="s">
        <v>10</v>
      </c>
    </row>
    <row r="2" spans="1:11" x14ac:dyDescent="0.25">
      <c r="A2" s="29" t="s">
        <v>117</v>
      </c>
      <c r="B2" s="12" t="s">
        <v>133</v>
      </c>
      <c r="C2" s="12" t="s">
        <v>134</v>
      </c>
      <c r="D2" s="12" t="s">
        <v>135</v>
      </c>
      <c r="E2" s="12" t="s">
        <v>136</v>
      </c>
      <c r="F2" s="68" t="s">
        <v>137</v>
      </c>
      <c r="G2" s="68" t="s">
        <v>138</v>
      </c>
      <c r="H2" s="68" t="s">
        <v>132</v>
      </c>
      <c r="I2" s="74"/>
      <c r="J2" s="69">
        <v>45950</v>
      </c>
    </row>
    <row r="3" spans="1:11" x14ac:dyDescent="0.25">
      <c r="A3" s="29" t="s">
        <v>158</v>
      </c>
      <c r="B3" s="12" t="s">
        <v>133</v>
      </c>
      <c r="C3" s="12" t="s">
        <v>139</v>
      </c>
      <c r="D3" s="12" t="s">
        <v>140</v>
      </c>
      <c r="E3" s="12" t="s">
        <v>141</v>
      </c>
      <c r="F3" s="68" t="s">
        <v>137</v>
      </c>
      <c r="G3" s="68" t="s">
        <v>142</v>
      </c>
      <c r="H3" s="68" t="s">
        <v>132</v>
      </c>
      <c r="I3" s="74"/>
      <c r="J3" s="69">
        <v>45950</v>
      </c>
    </row>
    <row r="4" spans="1:11" x14ac:dyDescent="0.25">
      <c r="A4" s="29" t="s">
        <v>159</v>
      </c>
      <c r="B4" s="12" t="s">
        <v>133</v>
      </c>
      <c r="C4" s="12" t="s">
        <v>143</v>
      </c>
      <c r="D4" s="12" t="s">
        <v>144</v>
      </c>
      <c r="E4" s="12" t="s">
        <v>145</v>
      </c>
      <c r="J4" s="69">
        <v>45950</v>
      </c>
    </row>
    <row r="5" spans="1:11" ht="30" x14ac:dyDescent="0.25">
      <c r="A5" s="29" t="s">
        <v>160</v>
      </c>
      <c r="B5" s="12" t="s">
        <v>133</v>
      </c>
      <c r="C5" s="12" t="s">
        <v>146</v>
      </c>
      <c r="D5" s="12" t="s">
        <v>153</v>
      </c>
      <c r="E5" s="12" t="s">
        <v>145</v>
      </c>
      <c r="J5" s="69">
        <v>45960</v>
      </c>
    </row>
    <row r="6" spans="1:11" x14ac:dyDescent="0.25">
      <c r="A6" s="29" t="s">
        <v>161</v>
      </c>
      <c r="B6" s="12" t="s">
        <v>147</v>
      </c>
      <c r="C6" s="12" t="s">
        <v>148</v>
      </c>
      <c r="D6" s="12" t="s">
        <v>149</v>
      </c>
      <c r="E6" s="12" t="s">
        <v>136</v>
      </c>
      <c r="F6" s="68" t="s">
        <v>137</v>
      </c>
      <c r="G6" s="68" t="s">
        <v>150</v>
      </c>
      <c r="H6" s="68" t="s">
        <v>132</v>
      </c>
      <c r="I6" s="74"/>
      <c r="J6" s="69">
        <v>45950</v>
      </c>
    </row>
  </sheetData>
  <sheetProtection sheet="1" objects="1" scenarios="1"/>
  <hyperlinks>
    <hyperlink ref="F2" r:id="rId1" xr:uid="{DFFAD1FD-67AF-4546-997B-BBD7718FFC60}"/>
    <hyperlink ref="G2" r:id="rId2" xr:uid="{0DAB2440-3EE3-4E2B-88D5-437B25691A3D}"/>
    <hyperlink ref="H2" r:id="rId3" xr:uid="{385DEDD0-5529-4991-B2D9-B6B6C74CC55E}"/>
    <hyperlink ref="F3" r:id="rId4" xr:uid="{0543628A-0B99-426B-B5B8-0964172873E3}"/>
    <hyperlink ref="G3" r:id="rId5" xr:uid="{0E386625-4DE8-4E85-8C33-C7574255C2D8}"/>
    <hyperlink ref="H3" r:id="rId6" xr:uid="{0E671776-B0D8-4549-B0D2-60AF1636D2C1}"/>
    <hyperlink ref="F6" r:id="rId7" xr:uid="{A1D8ED57-F860-470E-AF0F-703873CA7F28}"/>
    <hyperlink ref="G6" r:id="rId8" xr:uid="{C5356FBC-B2F3-448D-B27D-7FBDDD6373A1}"/>
    <hyperlink ref="H6" r:id="rId9" xr:uid="{31A09351-C5C4-4F02-AB33-D948392E8A7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O7"/>
  <sheetViews>
    <sheetView workbookViewId="0">
      <selection activeCell="K17" sqref="K17"/>
    </sheetView>
  </sheetViews>
  <sheetFormatPr defaultColWidth="9.140625" defaultRowHeight="15" x14ac:dyDescent="0.25"/>
  <cols>
    <col min="1" max="1" width="11.7109375" style="8" customWidth="1"/>
    <col min="2" max="2" width="22" style="8" customWidth="1"/>
    <col min="3" max="3" width="1" style="8" customWidth="1"/>
    <col min="4" max="4" width="7" style="7" customWidth="1"/>
    <col min="5" max="5" width="14.140625" style="8" customWidth="1"/>
    <col min="6" max="6" width="1.140625" style="8" customWidth="1"/>
    <col min="7" max="7" width="6" style="8" customWidth="1"/>
    <col min="8" max="8" width="24.28515625" style="8" customWidth="1"/>
    <col min="9" max="9" width="1.140625" style="8" customWidth="1"/>
    <col min="10" max="10" width="9.140625" style="8"/>
    <col min="11" max="11" width="13.140625" style="8" customWidth="1"/>
    <col min="12" max="12" width="1.140625" style="8" customWidth="1"/>
    <col min="13" max="13" width="9.140625" style="8"/>
    <col min="14" max="14" width="18.42578125" style="8" customWidth="1"/>
    <col min="15" max="15" width="20.5703125" style="8" customWidth="1"/>
    <col min="16" max="16384" width="9.140625" style="8"/>
  </cols>
  <sheetData>
    <row r="1" spans="1:15" x14ac:dyDescent="0.25">
      <c r="A1" s="13" t="s">
        <v>20</v>
      </c>
      <c r="D1" s="14" t="s">
        <v>4</v>
      </c>
      <c r="G1" s="13" t="s">
        <v>5</v>
      </c>
      <c r="J1" s="13" t="s">
        <v>53</v>
      </c>
      <c r="M1" s="13" t="s">
        <v>57</v>
      </c>
    </row>
    <row r="2" spans="1:15" x14ac:dyDescent="0.25">
      <c r="A2" s="15" t="s">
        <v>21</v>
      </c>
      <c r="B2" s="15" t="s">
        <v>22</v>
      </c>
      <c r="D2" s="16" t="s">
        <v>21</v>
      </c>
      <c r="E2" s="15" t="s">
        <v>22</v>
      </c>
      <c r="G2" s="15" t="s">
        <v>21</v>
      </c>
      <c r="H2" s="15" t="s">
        <v>22</v>
      </c>
      <c r="J2" s="22" t="s">
        <v>21</v>
      </c>
      <c r="K2" s="22" t="s">
        <v>22</v>
      </c>
      <c r="M2" s="22" t="s">
        <v>21</v>
      </c>
      <c r="N2" s="22" t="s">
        <v>22</v>
      </c>
      <c r="O2" s="22" t="s">
        <v>58</v>
      </c>
    </row>
    <row r="3" spans="1:15" x14ac:dyDescent="0.25">
      <c r="A3" s="8" t="s">
        <v>14</v>
      </c>
      <c r="B3" s="8" t="s">
        <v>23</v>
      </c>
      <c r="D3" s="7">
        <v>1</v>
      </c>
      <c r="E3" s="8" t="s">
        <v>24</v>
      </c>
      <c r="G3" s="8" t="s">
        <v>17</v>
      </c>
      <c r="H3" s="8" t="s">
        <v>25</v>
      </c>
      <c r="J3" s="8" t="s">
        <v>54</v>
      </c>
      <c r="K3" s="8" t="s">
        <v>54</v>
      </c>
      <c r="M3" s="8" t="s">
        <v>59</v>
      </c>
      <c r="N3" s="8" t="s">
        <v>60</v>
      </c>
      <c r="O3" s="8" t="s">
        <v>61</v>
      </c>
    </row>
    <row r="4" spans="1:15" x14ac:dyDescent="0.25">
      <c r="A4" s="8" t="s">
        <v>16</v>
      </c>
      <c r="B4" s="8" t="s">
        <v>26</v>
      </c>
      <c r="D4" s="7">
        <v>2</v>
      </c>
      <c r="E4" s="8" t="s">
        <v>27</v>
      </c>
      <c r="G4" s="8" t="s">
        <v>15</v>
      </c>
      <c r="H4" s="8" t="s">
        <v>28</v>
      </c>
      <c r="J4" s="8" t="s">
        <v>55</v>
      </c>
      <c r="K4" s="8" t="s">
        <v>55</v>
      </c>
      <c r="M4" s="8" t="s">
        <v>62</v>
      </c>
      <c r="N4" s="8" t="s">
        <v>63</v>
      </c>
      <c r="O4" s="8" t="s">
        <v>64</v>
      </c>
    </row>
    <row r="5" spans="1:15" x14ac:dyDescent="0.25">
      <c r="A5" s="8" t="s">
        <v>18</v>
      </c>
      <c r="B5" s="8" t="s">
        <v>29</v>
      </c>
      <c r="D5" s="7">
        <v>3</v>
      </c>
      <c r="E5" s="8" t="s">
        <v>33</v>
      </c>
      <c r="G5" s="8" t="s">
        <v>30</v>
      </c>
      <c r="H5" s="8" t="s">
        <v>31</v>
      </c>
      <c r="J5" s="8" t="s">
        <v>56</v>
      </c>
      <c r="K5" s="8" t="s">
        <v>56</v>
      </c>
      <c r="M5" s="8" t="s">
        <v>65</v>
      </c>
      <c r="N5" s="8" t="s">
        <v>66</v>
      </c>
      <c r="O5" s="8" t="s">
        <v>64</v>
      </c>
    </row>
    <row r="6" spans="1:15" x14ac:dyDescent="0.25">
      <c r="A6" s="8" t="s">
        <v>32</v>
      </c>
      <c r="B6" s="8" t="s">
        <v>32</v>
      </c>
      <c r="D6" s="7">
        <v>9</v>
      </c>
      <c r="E6" s="8" t="s">
        <v>37</v>
      </c>
      <c r="G6" s="8" t="s">
        <v>19</v>
      </c>
      <c r="H6" s="8" t="s">
        <v>34</v>
      </c>
      <c r="J6" s="8" t="s">
        <v>37</v>
      </c>
    </row>
    <row r="7" spans="1:15" x14ac:dyDescent="0.25">
      <c r="A7" s="8" t="s">
        <v>35</v>
      </c>
      <c r="B7" s="8" t="s">
        <v>36</v>
      </c>
    </row>
  </sheetData>
  <sheetProtection sheet="1" objects="1" scenarios="1"/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0972-1183-44A7-BF67-2B07E55B01ED}">
  <sheetPr>
    <tabColor theme="0" tint="-0.499984740745262"/>
  </sheetPr>
  <dimension ref="A1:S11"/>
  <sheetViews>
    <sheetView zoomScaleNormal="100" workbookViewId="0">
      <pane ySplit="1" topLeftCell="A2" activePane="bottomLeft" state="frozen"/>
      <selection pane="bottomLeft" activeCell="S1" sqref="S1"/>
    </sheetView>
  </sheetViews>
  <sheetFormatPr defaultColWidth="8.7109375" defaultRowHeight="15" x14ac:dyDescent="0.25"/>
  <cols>
    <col min="1" max="1" width="8.7109375" style="7"/>
    <col min="2" max="2" width="16.140625" style="7" customWidth="1"/>
    <col min="3" max="3" width="56" style="12" customWidth="1"/>
    <col min="4" max="4" width="9.85546875" style="8" bestFit="1" customWidth="1"/>
    <col min="5" max="5" width="9.85546875" style="50" customWidth="1"/>
    <col min="6" max="6" width="5.85546875" style="52" customWidth="1"/>
    <col min="7" max="7" width="10.5703125" style="11" customWidth="1"/>
    <col min="8" max="8" width="8.7109375" style="7"/>
    <col min="9" max="9" width="8.7109375" style="7" customWidth="1"/>
    <col min="10" max="11" width="7.85546875" style="9" customWidth="1"/>
    <col min="12" max="12" width="8.7109375" style="33" customWidth="1"/>
    <col min="13" max="13" width="8.7109375" style="34" customWidth="1"/>
    <col min="14" max="14" width="9.85546875" style="36" customWidth="1"/>
    <col min="15" max="15" width="9.85546875" style="8" bestFit="1" customWidth="1"/>
    <col min="16" max="16" width="6.7109375" style="9" customWidth="1"/>
    <col min="17" max="17" width="6.42578125" style="9" customWidth="1"/>
    <col min="18" max="18" width="9.85546875" style="10" customWidth="1"/>
    <col min="19" max="19" width="19.5703125" style="8" customWidth="1"/>
    <col min="20" max="16384" width="8.7109375" style="8"/>
  </cols>
  <sheetData>
    <row r="1" spans="1:19" s="42" customFormat="1" x14ac:dyDescent="0.25">
      <c r="A1" s="38" t="s">
        <v>0</v>
      </c>
      <c r="B1" s="38" t="s">
        <v>171</v>
      </c>
      <c r="C1" s="39" t="s">
        <v>1</v>
      </c>
      <c r="D1" s="37" t="s">
        <v>2</v>
      </c>
      <c r="E1" s="38" t="s">
        <v>96</v>
      </c>
      <c r="F1" s="38" t="s">
        <v>106</v>
      </c>
      <c r="G1" s="38" t="s">
        <v>8</v>
      </c>
      <c r="H1" s="38" t="s">
        <v>42</v>
      </c>
      <c r="I1" s="40" t="s">
        <v>3</v>
      </c>
      <c r="J1" s="41" t="s">
        <v>4</v>
      </c>
      <c r="K1" s="37" t="s">
        <v>5</v>
      </c>
      <c r="L1" s="37" t="s">
        <v>6</v>
      </c>
      <c r="M1" s="37" t="s">
        <v>95</v>
      </c>
      <c r="N1" s="37" t="s">
        <v>7</v>
      </c>
      <c r="O1" s="37" t="s">
        <v>9</v>
      </c>
      <c r="P1" s="38" t="s">
        <v>131</v>
      </c>
      <c r="Q1" s="38" t="s">
        <v>132</v>
      </c>
      <c r="R1" s="79" t="s">
        <v>119</v>
      </c>
      <c r="S1" s="79" t="s">
        <v>10</v>
      </c>
    </row>
    <row r="2" spans="1:19" x14ac:dyDescent="0.25">
      <c r="A2" s="7" t="s">
        <v>43</v>
      </c>
      <c r="C2" s="12" t="s">
        <v>12</v>
      </c>
      <c r="E2" s="49">
        <v>44864</v>
      </c>
      <c r="F2" s="52">
        <f>E2-N2</f>
        <v>61</v>
      </c>
      <c r="G2" s="11" t="s">
        <v>14</v>
      </c>
      <c r="H2" s="7" t="s">
        <v>13</v>
      </c>
      <c r="J2" s="9">
        <v>3</v>
      </c>
      <c r="K2" s="9" t="s">
        <v>17</v>
      </c>
      <c r="L2" s="33">
        <v>2.0833333333333332E-2</v>
      </c>
      <c r="M2" s="34">
        <f>CEILING((L2*60*24)/25,1)</f>
        <v>2</v>
      </c>
      <c r="N2" s="35">
        <v>44803</v>
      </c>
      <c r="P2" s="78"/>
      <c r="Q2" s="78"/>
      <c r="R2" s="10">
        <v>45962</v>
      </c>
    </row>
    <row r="3" spans="1:19" x14ac:dyDescent="0.25">
      <c r="A3" s="7" t="s">
        <v>44</v>
      </c>
      <c r="D3" s="10"/>
      <c r="N3" s="35"/>
      <c r="P3" s="78"/>
      <c r="Q3" s="78"/>
    </row>
    <row r="4" spans="1:19" x14ac:dyDescent="0.25">
      <c r="A4" s="7" t="s">
        <v>45</v>
      </c>
      <c r="D4" s="10"/>
    </row>
    <row r="5" spans="1:19" x14ac:dyDescent="0.25">
      <c r="A5" s="7" t="s">
        <v>46</v>
      </c>
      <c r="D5" s="10"/>
    </row>
    <row r="6" spans="1:19" x14ac:dyDescent="0.25">
      <c r="A6" s="7" t="s">
        <v>47</v>
      </c>
      <c r="D6" s="10"/>
    </row>
    <row r="7" spans="1:19" x14ac:dyDescent="0.25">
      <c r="A7" s="7" t="s">
        <v>48</v>
      </c>
      <c r="D7" s="10"/>
      <c r="E7" s="49"/>
      <c r="N7" s="35"/>
      <c r="P7" s="78"/>
      <c r="Q7" s="78"/>
    </row>
    <row r="8" spans="1:19" x14ac:dyDescent="0.25">
      <c r="A8" s="7" t="s">
        <v>49</v>
      </c>
      <c r="D8" s="10"/>
      <c r="N8" s="35"/>
      <c r="P8" s="78"/>
      <c r="Q8" s="78"/>
    </row>
    <row r="9" spans="1:19" x14ac:dyDescent="0.25">
      <c r="A9" s="7" t="s">
        <v>11</v>
      </c>
    </row>
    <row r="10" spans="1:19" x14ac:dyDescent="0.25">
      <c r="A10" s="7" t="s">
        <v>50</v>
      </c>
    </row>
    <row r="11" spans="1:19" x14ac:dyDescent="0.25">
      <c r="A11" s="7" t="s">
        <v>51</v>
      </c>
    </row>
  </sheetData>
  <sheetProtection algorithmName="SHA-512" hashValue="g7KOA5HdHrUULeUmH7iGnz6GyfYDp0FVDLO4NClu7eEjiQlviLUJZULMU7ORLCVweSkrNeTHpPTZPS1ejjA8gg==" saltValue="3AbcI7yMOaKZNireNR4zVw==" spinCount="100000" sheet="1" objects="1" scenarios="1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0.1-notes</vt:lpstr>
      <vt:lpstr>0.2-diary</vt:lpstr>
      <vt:lpstr>0.3-todo</vt:lpstr>
      <vt:lpstr>4.0-milestones</vt:lpstr>
      <vt:lpstr>4.1-steps</vt:lpstr>
      <vt:lpstr>8-qna</vt:lpstr>
      <vt:lpstr>9-terms</vt:lpstr>
      <vt:lpstr>10-ref</vt:lpstr>
      <vt:lpstr>11-sop</vt:lpstr>
      <vt:lpstr>25-codes</vt:lpstr>
      <vt:lpstr>50-arch-todo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Natarajan V</dc:creator>
  <cp:lastModifiedBy>Natarajan V</cp:lastModifiedBy>
  <dcterms:created xsi:type="dcterms:W3CDTF">2022-10-11T05:32:37Z</dcterms:created>
  <dcterms:modified xsi:type="dcterms:W3CDTF">2025-11-04T13:04:15Z</dcterms:modified>
  <cp:contentStatus/>
</cp:coreProperties>
</file>